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ashboard Data" sheetId="3" state="hidden" r:id="rId3"/>
    <sheet xmlns:r="http://schemas.openxmlformats.org/officeDocument/2006/relationships" name="README" sheetId="4" state="visible" r:id="rId4"/>
  </sheets>
  <definedNames>
    <definedName name="_xlnm._FilterDatabase" localSheetId="1" hidden="1">'Cleaned Data'!$A$1:$N$16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6C3BD1"/>
    </font>
    <font>
      <b val="1"/>
      <color rgb="00FFFFFF"/>
    </font>
    <font>
      <b val="1"/>
      <color rgb="00FFFFFF"/>
      <sz val="24"/>
    </font>
    <font>
      <i val="1"/>
      <color rgb="005F6B7A"/>
      <sz val="11"/>
    </font>
    <font>
      <b val="1"/>
      <color rgb="006C3BD1"/>
      <sz val="12"/>
    </font>
    <font>
      <b val="1"/>
      <color rgb="005F6B7A"/>
    </font>
    <font>
      <b val="1"/>
      <color rgb="00243B53"/>
      <sz val="18"/>
    </font>
    <font>
      <i val="1"/>
      <color rgb="005F6B7A"/>
      <sz val="9"/>
    </font>
  </fonts>
  <fills count="6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EDE7F6"/>
      </patternFill>
    </fill>
    <fill>
      <patternFill patternType="solid">
        <fgColor rgb="006C3BD1"/>
      </patternFill>
    </fill>
    <fill>
      <patternFill patternType="solid">
        <fgColor rgb="00F4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8" fillId="5" borderId="1" applyAlignment="1" pivotButton="0" quotePrefix="0" xfId="0">
      <alignment vertical="center" wrapText="1"/>
    </xf>
    <xf numFmtId="165" fontId="8" fillId="5" borderId="1" applyAlignment="1" pivotButton="0" quotePrefix="0" xfId="0">
      <alignment vertical="center" wrapText="1"/>
    </xf>
    <xf numFmtId="164" fontId="8" fillId="5" borderId="1" applyAlignment="1" pivotButton="0" quotePrefix="0" xfId="0">
      <alignment vertical="center" wrapText="1"/>
    </xf>
    <xf numFmtId="166" fontId="8" fillId="5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Data'!$A$2:$A$4</f>
            </numRef>
          </cat>
          <val>
            <numRef>
              <f>'Dashboard Data'!$D$2:$D$4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Data'!$G$2:$G$5</f>
            </numRef>
          </cat>
          <val>
            <numRef>
              <f>'Dashboard Data'!$J$2:$J$5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Data'!$A$8:$A$10</f>
            </numRef>
          </cat>
          <val>
            <numRef>
              <f>'Dashboard Data'!$D$8:$D$10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at Risk by Contract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Data'!$A$2:$A$4</f>
            </numRef>
          </cat>
          <val>
            <numRef>
              <f>'Dashboard Data'!$E$2:$E$4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Revenue at Risk</a:t>
                </a:r>
              </a:p>
            </rich>
          </tx>
        </title>
        <numFmt formatCode="₹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34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8" customHeight="1">
      <c r="A1" s="1" t="inlineStr">
        <is>
          <t>BUSINESS KPI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Customer Churn • Interactive Excel Dashboard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4" t="inlineStr">
        <is>
          <t>FILTERS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2" customHeight="1">
      <c r="A5" s="5" t="inlineStr">
        <is>
          <t>Contract</t>
        </is>
      </c>
      <c r="B5" s="6" t="inlineStr">
        <is>
          <t>All</t>
        </is>
      </c>
      <c r="C5" s="2" t="n"/>
      <c r="D5" s="5" t="inlineStr">
        <is>
          <t>Tenure</t>
        </is>
      </c>
      <c r="E5" s="6" t="inlineStr">
        <is>
          <t>All</t>
        </is>
      </c>
      <c r="F5" s="2" t="n"/>
      <c r="G5" s="5" t="inlineStr">
        <is>
          <t>Payment Method</t>
        </is>
      </c>
      <c r="H5" s="6" t="inlineStr">
        <is>
          <t>All</t>
        </is>
      </c>
      <c r="I5" s="2" t="n"/>
      <c r="J5" s="2" t="n"/>
      <c r="K5" s="2" t="n"/>
      <c r="L5" s="2" t="n"/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2" customHeight="1">
      <c r="A8" s="7" t="inlineStr">
        <is>
          <t>Customers</t>
        </is>
      </c>
      <c r="B8" s="8" t="n"/>
      <c r="C8" s="8" t="n"/>
      <c r="D8" s="7" t="inlineStr">
        <is>
          <t>Churn Rate</t>
        </is>
      </c>
      <c r="E8" s="8" t="n"/>
      <c r="F8" s="8" t="n"/>
      <c r="G8" s="7" t="inlineStr">
        <is>
          <t>Retention Rate</t>
        </is>
      </c>
      <c r="H8" s="8" t="n"/>
      <c r="I8" s="8" t="n"/>
      <c r="J8" s="7" t="inlineStr">
        <is>
          <t>Revenue at Risk / Month</t>
        </is>
      </c>
      <c r="K8" s="8" t="n"/>
      <c r="L8" s="8" t="n"/>
    </row>
    <row r="9" ht="22" customHeight="1">
      <c r="A9" s="9">
        <f>SUMPRODUCT(((($B$5="All")+('Cleaned Data'!$I$2:$I$16=$B$5)&gt;0)*(($E$5="All")+('Cleaned Data'!$E$2:$E$16=$E$5)&gt;0)*(($H$5="All")+('Cleaned Data'!$K$2:$K$16=$H$5)&gt;0)))</f>
        <v/>
      </c>
      <c r="B9" s="8" t="n"/>
      <c r="C9" s="8" t="n"/>
      <c r="D9" s="10">
        <f>IFERROR(SUMPRODUCT(((($B$5="All")+('Cleaned Data'!$I$2:$I$16=$B$5)&gt;0)*(($E$5="All")+('Cleaned Data'!$E$2:$E$16=$E$5)&gt;0)*(($H$5="All")+('Cleaned Data'!$K$2:$K$16=$H$5)&gt;0))*('Cleaned Data'!$L$2:$L$16="Yes"))/SUMPRODUCT(((($B$5="All")+('Cleaned Data'!$I$2:$I$16=$B$5)&gt;0)*(($E$5="All")+('Cleaned Data'!$E$2:$E$16=$E$5)&gt;0)*(($H$5="All")+('Cleaned Data'!$K$2:$K$16=$H$5)&gt;0))),0)</f>
        <v/>
      </c>
      <c r="E9" s="8" t="n"/>
      <c r="F9" s="8" t="n"/>
      <c r="G9" s="10">
        <f>1-IFERROR(SUMPRODUCT(((($B$5="All")+('Cleaned Data'!$I$2:$I$16=$B$5)&gt;0)*(($E$5="All")+('Cleaned Data'!$E$2:$E$16=$E$5)&gt;0)*(($H$5="All")+('Cleaned Data'!$K$2:$K$16=$H$5)&gt;0))*('Cleaned Data'!$L$2:$L$16="Yes"))/SUMPRODUCT(((($B$5="All")+('Cleaned Data'!$I$2:$I$16=$B$5)&gt;0)*(($E$5="All")+('Cleaned Data'!$E$2:$E$16=$E$5)&gt;0)*(($H$5="All")+('Cleaned Data'!$K$2:$K$16=$H$5)&gt;0))),0)</f>
        <v/>
      </c>
      <c r="H9" s="8" t="n"/>
      <c r="I9" s="8" t="n"/>
      <c r="J9" s="11">
        <f>SUMPRODUCT(((($B$5="All")+('Cleaned Data'!$I$2:$I$16=$B$5)&gt;0)*(($E$5="All")+('Cleaned Data'!$E$2:$E$16=$E$5)&gt;0)*(($H$5="All")+('Cleaned Data'!$K$2:$K$16=$H$5)&gt;0))*('Cleaned Data'!$L$2:$L$16="Yes")*'Cleaned Data'!$G$2:$G$16)</f>
        <v/>
      </c>
      <c r="K9" s="8" t="n"/>
      <c r="L9" s="8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2" customHeight="1">
      <c r="A11" s="7" t="inlineStr">
        <is>
          <t>Avg Tenure (Months)</t>
        </is>
      </c>
      <c r="B11" s="8" t="n"/>
      <c r="C11" s="8" t="n"/>
      <c r="D11" s="7" t="inlineStr">
        <is>
          <t>Avg Support Tickets</t>
        </is>
      </c>
      <c r="E11" s="8" t="n"/>
      <c r="F11" s="8" t="n"/>
      <c r="G11" s="7" t="inlineStr">
        <is>
          <t>Monthly Revenue</t>
        </is>
      </c>
      <c r="H11" s="8" t="n"/>
      <c r="I11" s="8" t="n"/>
      <c r="J11" s="7" t="inlineStr">
        <is>
          <t>Churned Customers</t>
        </is>
      </c>
      <c r="K11" s="8" t="n"/>
      <c r="L11" s="8" t="n"/>
    </row>
    <row r="12" ht="22" customHeight="1">
      <c r="A12" s="12">
        <f>IFERROR(SUMPRODUCT(((($B$5="All")+('Cleaned Data'!$I$2:$I$16=$B$5)&gt;0)*(($E$5="All")+('Cleaned Data'!$E$2:$E$16=$E$5)&gt;0)*(($H$5="All")+('Cleaned Data'!$K$2:$K$16=$H$5)&gt;0))*'Cleaned Data'!$D$2:$D$16)/SUMPRODUCT(((($B$5="All")+('Cleaned Data'!$I$2:$I$16=$B$5)&gt;0)*(($E$5="All")+('Cleaned Data'!$E$2:$E$16=$E$5)&gt;0)*(($H$5="All")+('Cleaned Data'!$K$2:$K$16=$H$5)&gt;0))),0)</f>
        <v/>
      </c>
      <c r="B12" s="8" t="n"/>
      <c r="C12" s="8" t="n"/>
      <c r="D12" s="12">
        <f>IFERROR(SUMPRODUCT(((($B$5="All")+('Cleaned Data'!$I$2:$I$16=$B$5)&gt;0)*(($E$5="All")+('Cleaned Data'!$E$2:$E$16=$E$5)&gt;0)*(($H$5="All")+('Cleaned Data'!$K$2:$K$16=$H$5)&gt;0))*'Cleaned Data'!$J$2:$J$16)/SUMPRODUCT(((($B$5="All")+('Cleaned Data'!$I$2:$I$16=$B$5)&gt;0)*(($E$5="All")+('Cleaned Data'!$E$2:$E$16=$E$5)&gt;0)*(($H$5="All")+('Cleaned Data'!$K$2:$K$16=$H$5)&gt;0))),0)</f>
        <v/>
      </c>
      <c r="E12" s="8" t="n"/>
      <c r="F12" s="8" t="n"/>
      <c r="G12" s="11">
        <f>SUMPRODUCT(((($B$5="All")+('Cleaned Data'!$I$2:$I$16=$B$5)&gt;0)*(($E$5="All")+('Cleaned Data'!$E$2:$E$16=$E$5)&gt;0)*(($H$5="All")+('Cleaned Data'!$K$2:$K$16=$H$5)&gt;0))*'Cleaned Data'!$G$2:$G$16)</f>
        <v/>
      </c>
      <c r="H12" s="8" t="n"/>
      <c r="I12" s="8" t="n"/>
      <c r="J12" s="9">
        <f>SUMPRODUCT(((($B$5="All")+('Cleaned Data'!$I$2:$I$16=$B$5)&gt;0)*(($E$5="All")+('Cleaned Data'!$E$2:$E$16=$E$5)&gt;0)*(($H$5="All")+('Cleaned Data'!$K$2:$K$16=$H$5)&gt;0))*('Cleaned Data'!$L$2:$L$16="Yes"))</f>
        <v/>
      </c>
      <c r="K12" s="8" t="n"/>
      <c r="L12" s="8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2" customHeight="1">
      <c r="A14" s="4" t="inlineStr">
        <is>
          <t>KEY INSIGHTS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2" customHeight="1">
      <c r="A15" s="2" t="inlineStr">
        <is>
          <t>• Month-to-month contracts show the highest churn in this sample.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2" customHeight="1">
      <c r="A16" s="2" t="inlineStr">
        <is>
          <t>• Churned customers have shorter average tenure and more support tickets than retained customers.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2" customHeight="1">
      <c r="A17" s="2" t="inlineStr">
        <is>
          <t>• Revenue at risk is measured as monthly charges from currently churned customers.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22" customHeight="1">
      <c r="A18" s="2" t="inlineStr">
        <is>
          <t>• Use the filters above to inspect contract, tenure-band, and payment-method segments.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2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2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22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22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22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22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22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22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22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2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22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22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22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22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22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22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22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22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22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22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22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22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 ht="22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 ht="22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22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 ht="22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 ht="22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13" t="inlineStr">
        <is>
          <t>Source: customer_churn_sample.csv • 15-record sample • Descriptive analysis only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</sheetData>
  <mergeCells count="24">
    <mergeCell ref="A16:L16"/>
    <mergeCell ref="D11:F11"/>
    <mergeCell ref="A18:L18"/>
    <mergeCell ref="A12:C12"/>
    <mergeCell ref="J11:L11"/>
    <mergeCell ref="A2:L2"/>
    <mergeCell ref="A8:C8"/>
    <mergeCell ref="D12:F12"/>
    <mergeCell ref="A14:L14"/>
    <mergeCell ref="D9:F9"/>
    <mergeCell ref="A17:L17"/>
    <mergeCell ref="J12:L12"/>
    <mergeCell ref="D8:F8"/>
    <mergeCell ref="A9:C9"/>
    <mergeCell ref="G9:I9"/>
    <mergeCell ref="J8:L8"/>
    <mergeCell ref="G12:I12"/>
    <mergeCell ref="G11:I11"/>
    <mergeCell ref="A15:L15"/>
    <mergeCell ref="A11:C11"/>
    <mergeCell ref="A51:L51"/>
    <mergeCell ref="A1:L1"/>
    <mergeCell ref="G8:I8"/>
    <mergeCell ref="J9:L9"/>
  </mergeCells>
  <dataValidations count="3">
    <dataValidation sqref="B5" showDropDown="0" showInputMessage="0" showErrorMessage="0" allowBlank="0" type="list">
      <formula1>"All,Month-to-Month,One Year,Two Year"</formula1>
    </dataValidation>
    <dataValidation sqref="E5" showDropDown="0" showInputMessage="0" showErrorMessage="0" allowBlank="0" type="list">
      <formula1>"All,0–12 months,13–24 months,25+ months"</formula1>
    </dataValidation>
    <dataValidation sqref="H5" showDropDown="0" showInputMessage="0" showErrorMessage="0" allowBlank="0" type="list">
      <formula1>"All,Credit Card,Bank Transfer,UPI,Debit Card"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4" customWidth="1" min="4" max="4"/>
    <col width="16" customWidth="1" min="5" max="5"/>
    <col width="18" customWidth="1" min="6" max="6"/>
    <col width="16" customWidth="1" min="7" max="7"/>
    <col width="15" customWidth="1" min="8" max="8"/>
    <col width="20" customWidth="1" min="9" max="9"/>
    <col width="16" customWidth="1" min="10" max="10"/>
    <col width="18" customWidth="1" min="11" max="11"/>
    <col width="10" customWidth="1" min="12" max="12"/>
    <col width="12" customWidth="1" min="13" max="13"/>
    <col width="22" customWidth="1" min="14" max="14"/>
  </cols>
  <sheetData>
    <row r="1">
      <c r="A1" s="14" t="inlineStr">
        <is>
          <t>CustomerID</t>
        </is>
      </c>
      <c r="B1" s="14" t="inlineStr">
        <is>
          <t>Gender</t>
        </is>
      </c>
      <c r="C1" s="14" t="inlineStr">
        <is>
          <t>Age</t>
        </is>
      </c>
      <c r="D1" s="14" t="inlineStr">
        <is>
          <t>TenureMonths</t>
        </is>
      </c>
      <c r="E1" s="14" t="inlineStr">
        <is>
          <t>TenureBand</t>
        </is>
      </c>
      <c r="F1" s="14" t="inlineStr">
        <is>
          <t>SubscriptionType</t>
        </is>
      </c>
      <c r="G1" s="14" t="inlineStr">
        <is>
          <t>MonthlyCharges</t>
        </is>
      </c>
      <c r="H1" s="14" t="inlineStr">
        <is>
          <t>TotalCharges</t>
        </is>
      </c>
      <c r="I1" s="14" t="inlineStr">
        <is>
          <t>ContractType</t>
        </is>
      </c>
      <c r="J1" s="14" t="inlineStr">
        <is>
          <t>SupportTickets</t>
        </is>
      </c>
      <c r="K1" s="14" t="inlineStr">
        <is>
          <t>PaymentMethod</t>
        </is>
      </c>
      <c r="L1" s="14" t="inlineStr">
        <is>
          <t>Churn</t>
        </is>
      </c>
      <c r="M1" s="14" t="inlineStr">
        <is>
          <t>ChurnFlag</t>
        </is>
      </c>
      <c r="N1" s="14" t="inlineStr">
        <is>
          <t>AtRiskMonthlyRevenue</t>
        </is>
      </c>
    </row>
    <row r="2">
      <c r="A2" s="8" t="inlineStr">
        <is>
          <t>CUST-1001</t>
        </is>
      </c>
      <c r="B2" s="8" t="inlineStr">
        <is>
          <t>Female</t>
        </is>
      </c>
      <c r="C2" s="8" t="n">
        <v>34</v>
      </c>
      <c r="D2" s="8" t="n">
        <v>12</v>
      </c>
      <c r="E2" s="8" t="inlineStr">
        <is>
          <t>0–12 months</t>
        </is>
      </c>
      <c r="F2" s="8" t="inlineStr">
        <is>
          <t>Basic</t>
        </is>
      </c>
      <c r="G2" s="15" t="n">
        <v>49.99</v>
      </c>
      <c r="H2" s="15" t="n">
        <v>599.88</v>
      </c>
      <c r="I2" s="8" t="inlineStr">
        <is>
          <t>Month-to-Month</t>
        </is>
      </c>
      <c r="J2" s="8" t="n">
        <v>3</v>
      </c>
      <c r="K2" s="8" t="inlineStr">
        <is>
          <t>Credit Card</t>
        </is>
      </c>
      <c r="L2" s="8" t="inlineStr">
        <is>
          <t>Yes</t>
        </is>
      </c>
      <c r="M2" s="8" t="n">
        <v>1</v>
      </c>
      <c r="N2" s="15" t="n">
        <v>49.99</v>
      </c>
    </row>
    <row r="3">
      <c r="A3" s="8" t="inlineStr">
        <is>
          <t>CUST-1002</t>
        </is>
      </c>
      <c r="B3" s="8" t="inlineStr">
        <is>
          <t>Male</t>
        </is>
      </c>
      <c r="C3" s="8" t="n">
        <v>45</v>
      </c>
      <c r="D3" s="8" t="n">
        <v>24</v>
      </c>
      <c r="E3" s="8" t="inlineStr">
        <is>
          <t>13–24 months</t>
        </is>
      </c>
      <c r="F3" s="8" t="inlineStr">
        <is>
          <t>Pro</t>
        </is>
      </c>
      <c r="G3" s="15" t="n">
        <v>79.98999999999999</v>
      </c>
      <c r="H3" s="15" t="n">
        <v>1919.76</v>
      </c>
      <c r="I3" s="8" t="inlineStr">
        <is>
          <t>One Year</t>
        </is>
      </c>
      <c r="J3" s="8" t="n">
        <v>1</v>
      </c>
      <c r="K3" s="8" t="inlineStr">
        <is>
          <t>Bank Transfer</t>
        </is>
      </c>
      <c r="L3" s="8" t="inlineStr">
        <is>
          <t>No</t>
        </is>
      </c>
      <c r="M3" s="8" t="n">
        <v>0</v>
      </c>
      <c r="N3" s="15" t="n">
        <v>0</v>
      </c>
    </row>
    <row r="4">
      <c r="A4" s="8" t="inlineStr">
        <is>
          <t>CUST-1003</t>
        </is>
      </c>
      <c r="B4" s="8" t="inlineStr">
        <is>
          <t>Female</t>
        </is>
      </c>
      <c r="C4" s="8" t="n">
        <v>29</v>
      </c>
      <c r="D4" s="8" t="n">
        <v>6</v>
      </c>
      <c r="E4" s="8" t="inlineStr">
        <is>
          <t>0–12 months</t>
        </is>
      </c>
      <c r="F4" s="8" t="inlineStr">
        <is>
          <t>Basic</t>
        </is>
      </c>
      <c r="G4" s="15" t="n">
        <v>49.99</v>
      </c>
      <c r="H4" s="15" t="n">
        <v>299.94</v>
      </c>
      <c r="I4" s="8" t="inlineStr">
        <is>
          <t>Month-to-Month</t>
        </is>
      </c>
      <c r="J4" s="8" t="n">
        <v>5</v>
      </c>
      <c r="K4" s="8" t="inlineStr">
        <is>
          <t>UPI</t>
        </is>
      </c>
      <c r="L4" s="8" t="inlineStr">
        <is>
          <t>Yes</t>
        </is>
      </c>
      <c r="M4" s="8" t="n">
        <v>1</v>
      </c>
      <c r="N4" s="15" t="n">
        <v>49.99</v>
      </c>
    </row>
    <row r="5">
      <c r="A5" s="8" t="inlineStr">
        <is>
          <t>CUST-1004</t>
        </is>
      </c>
      <c r="B5" s="8" t="inlineStr">
        <is>
          <t>Male</t>
        </is>
      </c>
      <c r="C5" s="8" t="n">
        <v>52</v>
      </c>
      <c r="D5" s="8" t="n">
        <v>36</v>
      </c>
      <c r="E5" s="8" t="inlineStr">
        <is>
          <t>25+ months</t>
        </is>
      </c>
      <c r="F5" s="8" t="inlineStr">
        <is>
          <t>Enterprise</t>
        </is>
      </c>
      <c r="G5" s="15" t="n">
        <v>149.99</v>
      </c>
      <c r="H5" s="15" t="n">
        <v>5399.64</v>
      </c>
      <c r="I5" s="8" t="inlineStr">
        <is>
          <t>Two Year</t>
        </is>
      </c>
      <c r="J5" s="8" t="n">
        <v>0</v>
      </c>
      <c r="K5" s="8" t="inlineStr">
        <is>
          <t>Credit Card</t>
        </is>
      </c>
      <c r="L5" s="8" t="inlineStr">
        <is>
          <t>No</t>
        </is>
      </c>
      <c r="M5" s="8" t="n">
        <v>0</v>
      </c>
      <c r="N5" s="15" t="n">
        <v>0</v>
      </c>
    </row>
    <row r="6">
      <c r="A6" s="8" t="inlineStr">
        <is>
          <t>CUST-1005</t>
        </is>
      </c>
      <c r="B6" s="8" t="inlineStr">
        <is>
          <t>Female</t>
        </is>
      </c>
      <c r="C6" s="8" t="n">
        <v>41</v>
      </c>
      <c r="D6" s="8" t="n">
        <v>8</v>
      </c>
      <c r="E6" s="8" t="inlineStr">
        <is>
          <t>0–12 months</t>
        </is>
      </c>
      <c r="F6" s="8" t="inlineStr">
        <is>
          <t>Pro</t>
        </is>
      </c>
      <c r="G6" s="15" t="n">
        <v>79.98999999999999</v>
      </c>
      <c r="H6" s="15" t="n">
        <v>639.92</v>
      </c>
      <c r="I6" s="8" t="inlineStr">
        <is>
          <t>Month-to-Month</t>
        </is>
      </c>
      <c r="J6" s="8" t="n">
        <v>4</v>
      </c>
      <c r="K6" s="8" t="inlineStr">
        <is>
          <t>Debit Card</t>
        </is>
      </c>
      <c r="L6" s="8" t="inlineStr">
        <is>
          <t>Yes</t>
        </is>
      </c>
      <c r="M6" s="8" t="n">
        <v>1</v>
      </c>
      <c r="N6" s="15" t="n">
        <v>79.98999999999999</v>
      </c>
    </row>
    <row r="7">
      <c r="A7" s="8" t="inlineStr">
        <is>
          <t>CUST-1006</t>
        </is>
      </c>
      <c r="B7" s="8" t="inlineStr">
        <is>
          <t>Male</t>
        </is>
      </c>
      <c r="C7" s="8" t="n">
        <v>31</v>
      </c>
      <c r="D7" s="8" t="n">
        <v>18</v>
      </c>
      <c r="E7" s="8" t="inlineStr">
        <is>
          <t>13–24 months</t>
        </is>
      </c>
      <c r="F7" s="8" t="inlineStr">
        <is>
          <t>Basic</t>
        </is>
      </c>
      <c r="G7" s="15" t="n">
        <v>49.99</v>
      </c>
      <c r="H7" s="15" t="n">
        <v>899.8200000000001</v>
      </c>
      <c r="I7" s="8" t="inlineStr">
        <is>
          <t>One Year</t>
        </is>
      </c>
      <c r="J7" s="8" t="n">
        <v>2</v>
      </c>
      <c r="K7" s="8" t="inlineStr">
        <is>
          <t>UPI</t>
        </is>
      </c>
      <c r="L7" s="8" t="inlineStr">
        <is>
          <t>No</t>
        </is>
      </c>
      <c r="M7" s="8" t="n">
        <v>0</v>
      </c>
      <c r="N7" s="15" t="n">
        <v>0</v>
      </c>
    </row>
    <row r="8">
      <c r="A8" s="8" t="inlineStr">
        <is>
          <t>CUST-1007</t>
        </is>
      </c>
      <c r="B8" s="8" t="inlineStr">
        <is>
          <t>Female</t>
        </is>
      </c>
      <c r="C8" s="8" t="n">
        <v>23</v>
      </c>
      <c r="D8" s="8" t="n">
        <v>3</v>
      </c>
      <c r="E8" s="8" t="inlineStr">
        <is>
          <t>0–12 months</t>
        </is>
      </c>
      <c r="F8" s="8" t="inlineStr">
        <is>
          <t>Basic</t>
        </is>
      </c>
      <c r="G8" s="15" t="n">
        <v>49.99</v>
      </c>
      <c r="H8" s="15" t="n">
        <v>149.97</v>
      </c>
      <c r="I8" s="8" t="inlineStr">
        <is>
          <t>Month-to-Month</t>
        </is>
      </c>
      <c r="J8" s="8" t="n">
        <v>6</v>
      </c>
      <c r="K8" s="8" t="inlineStr">
        <is>
          <t>Credit Card</t>
        </is>
      </c>
      <c r="L8" s="8" t="inlineStr">
        <is>
          <t>Yes</t>
        </is>
      </c>
      <c r="M8" s="8" t="n">
        <v>1</v>
      </c>
      <c r="N8" s="15" t="n">
        <v>49.99</v>
      </c>
    </row>
    <row r="9">
      <c r="A9" s="8" t="inlineStr">
        <is>
          <t>CUST-1008</t>
        </is>
      </c>
      <c r="B9" s="8" t="inlineStr">
        <is>
          <t>Male</t>
        </is>
      </c>
      <c r="C9" s="8" t="n">
        <v>60</v>
      </c>
      <c r="D9" s="8" t="n">
        <v>48</v>
      </c>
      <c r="E9" s="8" t="inlineStr">
        <is>
          <t>25+ months</t>
        </is>
      </c>
      <c r="F9" s="8" t="inlineStr">
        <is>
          <t>Enterprise</t>
        </is>
      </c>
      <c r="G9" s="15" t="n">
        <v>149.99</v>
      </c>
      <c r="H9" s="15" t="n">
        <v>7199.52</v>
      </c>
      <c r="I9" s="8" t="inlineStr">
        <is>
          <t>Two Year</t>
        </is>
      </c>
      <c r="J9" s="8" t="n">
        <v>1</v>
      </c>
      <c r="K9" s="8" t="inlineStr">
        <is>
          <t>Bank Transfer</t>
        </is>
      </c>
      <c r="L9" s="8" t="inlineStr">
        <is>
          <t>No</t>
        </is>
      </c>
      <c r="M9" s="8" t="n">
        <v>0</v>
      </c>
      <c r="N9" s="15" t="n">
        <v>0</v>
      </c>
    </row>
    <row r="10">
      <c r="A10" s="8" t="inlineStr">
        <is>
          <t>CUST-1009</t>
        </is>
      </c>
      <c r="B10" s="8" t="inlineStr">
        <is>
          <t>Female</t>
        </is>
      </c>
      <c r="C10" s="8" t="n">
        <v>38</v>
      </c>
      <c r="D10" s="8" t="n">
        <v>15</v>
      </c>
      <c r="E10" s="8" t="inlineStr">
        <is>
          <t>13–24 months</t>
        </is>
      </c>
      <c r="F10" s="8" t="inlineStr">
        <is>
          <t>Pro</t>
        </is>
      </c>
      <c r="G10" s="15" t="n">
        <v>79.98999999999999</v>
      </c>
      <c r="H10" s="15" t="n">
        <v>1199.85</v>
      </c>
      <c r="I10" s="8" t="inlineStr">
        <is>
          <t>One Year</t>
        </is>
      </c>
      <c r="J10" s="8" t="n">
        <v>2</v>
      </c>
      <c r="K10" s="8" t="inlineStr">
        <is>
          <t>Credit Card</t>
        </is>
      </c>
      <c r="L10" s="8" t="inlineStr">
        <is>
          <t>No</t>
        </is>
      </c>
      <c r="M10" s="8" t="n">
        <v>0</v>
      </c>
      <c r="N10" s="15" t="n">
        <v>0</v>
      </c>
    </row>
    <row r="11">
      <c r="A11" s="8" t="inlineStr">
        <is>
          <t>CUST-1010</t>
        </is>
      </c>
      <c r="B11" s="8" t="inlineStr">
        <is>
          <t>Male</t>
        </is>
      </c>
      <c r="C11" s="8" t="n">
        <v>27</v>
      </c>
      <c r="D11" s="8" t="n">
        <v>4</v>
      </c>
      <c r="E11" s="8" t="inlineStr">
        <is>
          <t>0–12 months</t>
        </is>
      </c>
      <c r="F11" s="8" t="inlineStr">
        <is>
          <t>Basic</t>
        </is>
      </c>
      <c r="G11" s="15" t="n">
        <v>49.99</v>
      </c>
      <c r="H11" s="15" t="n">
        <v>199.96</v>
      </c>
      <c r="I11" s="8" t="inlineStr">
        <is>
          <t>Month-to-Month</t>
        </is>
      </c>
      <c r="J11" s="8" t="n">
        <v>4</v>
      </c>
      <c r="K11" s="8" t="inlineStr">
        <is>
          <t>UPI</t>
        </is>
      </c>
      <c r="L11" s="8" t="inlineStr">
        <is>
          <t>Yes</t>
        </is>
      </c>
      <c r="M11" s="8" t="n">
        <v>1</v>
      </c>
      <c r="N11" s="15" t="n">
        <v>49.99</v>
      </c>
    </row>
    <row r="12">
      <c r="A12" s="8" t="inlineStr">
        <is>
          <t>CUST-1011</t>
        </is>
      </c>
      <c r="B12" s="8" t="inlineStr">
        <is>
          <t>Female</t>
        </is>
      </c>
      <c r="C12" s="8" t="n">
        <v>49</v>
      </c>
      <c r="D12" s="8" t="n">
        <v>30</v>
      </c>
      <c r="E12" s="8" t="inlineStr">
        <is>
          <t>25+ months</t>
        </is>
      </c>
      <c r="F12" s="8" t="inlineStr">
        <is>
          <t>Enterprise</t>
        </is>
      </c>
      <c r="G12" s="15" t="n">
        <v>149.99</v>
      </c>
      <c r="H12" s="15" t="n">
        <v>4499.7</v>
      </c>
      <c r="I12" s="8" t="inlineStr">
        <is>
          <t>Two Year</t>
        </is>
      </c>
      <c r="J12" s="8" t="n">
        <v>0</v>
      </c>
      <c r="K12" s="8" t="inlineStr">
        <is>
          <t>Credit Card</t>
        </is>
      </c>
      <c r="L12" s="8" t="inlineStr">
        <is>
          <t>No</t>
        </is>
      </c>
      <c r="M12" s="8" t="n">
        <v>0</v>
      </c>
      <c r="N12" s="15" t="n">
        <v>0</v>
      </c>
    </row>
    <row r="13">
      <c r="A13" s="8" t="inlineStr">
        <is>
          <t>CUST-1012</t>
        </is>
      </c>
      <c r="B13" s="8" t="inlineStr">
        <is>
          <t>Male</t>
        </is>
      </c>
      <c r="C13" s="8" t="n">
        <v>33</v>
      </c>
      <c r="D13" s="8" t="n">
        <v>14</v>
      </c>
      <c r="E13" s="8" t="inlineStr">
        <is>
          <t>13–24 months</t>
        </is>
      </c>
      <c r="F13" s="8" t="inlineStr">
        <is>
          <t>Pro</t>
        </is>
      </c>
      <c r="G13" s="15" t="n">
        <v>79.98999999999999</v>
      </c>
      <c r="H13" s="15" t="n">
        <v>1119.86</v>
      </c>
      <c r="I13" s="8" t="inlineStr">
        <is>
          <t>Month-to-Month</t>
        </is>
      </c>
      <c r="J13" s="8" t="n">
        <v>3</v>
      </c>
      <c r="K13" s="8" t="inlineStr">
        <is>
          <t>Debit Card</t>
        </is>
      </c>
      <c r="L13" s="8" t="inlineStr">
        <is>
          <t>Yes</t>
        </is>
      </c>
      <c r="M13" s="8" t="n">
        <v>1</v>
      </c>
      <c r="N13" s="15" t="n">
        <v>79.98999999999999</v>
      </c>
    </row>
    <row r="14">
      <c r="A14" s="8" t="inlineStr">
        <is>
          <t>CUST-1013</t>
        </is>
      </c>
      <c r="B14" s="8" t="inlineStr">
        <is>
          <t>Female</t>
        </is>
      </c>
      <c r="C14" s="8" t="n">
        <v>55</v>
      </c>
      <c r="D14" s="8" t="n">
        <v>22</v>
      </c>
      <c r="E14" s="8" t="inlineStr">
        <is>
          <t>13–24 months</t>
        </is>
      </c>
      <c r="F14" s="8" t="inlineStr">
        <is>
          <t>Basic</t>
        </is>
      </c>
      <c r="G14" s="15" t="n">
        <v>49.99</v>
      </c>
      <c r="H14" s="15" t="n">
        <v>1099.78</v>
      </c>
      <c r="I14" s="8" t="inlineStr">
        <is>
          <t>One Year</t>
        </is>
      </c>
      <c r="J14" s="8" t="n">
        <v>1</v>
      </c>
      <c r="K14" s="8" t="inlineStr">
        <is>
          <t>Bank Transfer</t>
        </is>
      </c>
      <c r="L14" s="8" t="inlineStr">
        <is>
          <t>No</t>
        </is>
      </c>
      <c r="M14" s="8" t="n">
        <v>0</v>
      </c>
      <c r="N14" s="15" t="n">
        <v>0</v>
      </c>
    </row>
    <row r="15">
      <c r="A15" s="8" t="inlineStr">
        <is>
          <t>CUST-1014</t>
        </is>
      </c>
      <c r="B15" s="8" t="inlineStr">
        <is>
          <t>Male</t>
        </is>
      </c>
      <c r="C15" s="8" t="n">
        <v>26</v>
      </c>
      <c r="D15" s="8" t="n">
        <v>2</v>
      </c>
      <c r="E15" s="8" t="inlineStr">
        <is>
          <t>0–12 months</t>
        </is>
      </c>
      <c r="F15" s="8" t="inlineStr">
        <is>
          <t>Basic</t>
        </is>
      </c>
      <c r="G15" s="15" t="n">
        <v>49.99</v>
      </c>
      <c r="H15" s="15" t="n">
        <v>99.98</v>
      </c>
      <c r="I15" s="8" t="inlineStr">
        <is>
          <t>Month-to-Month</t>
        </is>
      </c>
      <c r="J15" s="8" t="n">
        <v>5</v>
      </c>
      <c r="K15" s="8" t="inlineStr">
        <is>
          <t>UPI</t>
        </is>
      </c>
      <c r="L15" s="8" t="inlineStr">
        <is>
          <t>Yes</t>
        </is>
      </c>
      <c r="M15" s="8" t="n">
        <v>1</v>
      </c>
      <c r="N15" s="15" t="n">
        <v>49.99</v>
      </c>
    </row>
    <row r="16">
      <c r="A16" s="8" t="inlineStr">
        <is>
          <t>CUST-1015</t>
        </is>
      </c>
      <c r="B16" s="8" t="inlineStr">
        <is>
          <t>Female</t>
        </is>
      </c>
      <c r="C16" s="8" t="n">
        <v>43</v>
      </c>
      <c r="D16" s="8" t="n">
        <v>40</v>
      </c>
      <c r="E16" s="8" t="inlineStr">
        <is>
          <t>25+ months</t>
        </is>
      </c>
      <c r="F16" s="8" t="inlineStr">
        <is>
          <t>Enterprise</t>
        </is>
      </c>
      <c r="G16" s="15" t="n">
        <v>149.99</v>
      </c>
      <c r="H16" s="15" t="n">
        <v>5999.6</v>
      </c>
      <c r="I16" s="8" t="inlineStr">
        <is>
          <t>Two Year</t>
        </is>
      </c>
      <c r="J16" s="8" t="n">
        <v>1</v>
      </c>
      <c r="K16" s="8" t="inlineStr">
        <is>
          <t>Credit Card</t>
        </is>
      </c>
      <c r="L16" s="8" t="inlineStr">
        <is>
          <t>No</t>
        </is>
      </c>
      <c r="M16" s="8" t="n">
        <v>0</v>
      </c>
      <c r="N16" s="15" t="n">
        <v>0</v>
      </c>
    </row>
  </sheetData>
  <autoFilter ref="A1:N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Contract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 Rate</t>
        </is>
      </c>
      <c r="E1" t="inlineStr">
        <is>
          <t>Revenue at Risk</t>
        </is>
      </c>
      <c r="G1" t="inlineStr">
        <is>
          <t>Payment Method</t>
        </is>
      </c>
      <c r="H1" t="inlineStr">
        <is>
          <t>Customers</t>
        </is>
      </c>
      <c r="I1" t="inlineStr">
        <is>
          <t>Churned</t>
        </is>
      </c>
      <c r="J1" t="inlineStr">
        <is>
          <t>Churn Rate</t>
        </is>
      </c>
      <c r="K1" t="inlineStr">
        <is>
          <t>Revenue at Risk</t>
        </is>
      </c>
    </row>
    <row r="2">
      <c r="A2" t="inlineStr">
        <is>
          <t>Month-to-Month</t>
        </is>
      </c>
      <c r="B2">
        <f>COUNTIF('Cleaned Data'!$I$2:$I$16,A2)</f>
        <v/>
      </c>
      <c r="C2">
        <f>COUNTIFS('Cleaned Data'!$I$2:$I$16,A2,'Cleaned Data'!$L$2:$L$16,"Yes")</f>
        <v/>
      </c>
      <c r="D2">
        <f>IFERROR(C2/B2,0)</f>
        <v/>
      </c>
      <c r="E2">
        <f>SUMIFS('Cleaned Data'!$G$2:$G$16,'Cleaned Data'!$I$2:$I$16,A2,'Cleaned Data'!$L$2:$L$16,"Yes")</f>
        <v/>
      </c>
      <c r="G2" t="inlineStr">
        <is>
          <t>Credit Card</t>
        </is>
      </c>
      <c r="H2">
        <f>COUNTIF('Cleaned Data'!$K$2:$K$16,G2)</f>
        <v/>
      </c>
      <c r="I2">
        <f>COUNTIFS('Cleaned Data'!$K$2:$K$16,G2,'Cleaned Data'!$L$2:$L$16,"Yes")</f>
        <v/>
      </c>
      <c r="J2">
        <f>IFERROR(I2/H2,0)</f>
        <v/>
      </c>
      <c r="K2">
        <f>SUMIFS('Cleaned Data'!$G$2:$G$16,'Cleaned Data'!$K$2:$K$16,G2,'Cleaned Data'!$L$2:$L$16,"Yes")</f>
        <v/>
      </c>
    </row>
    <row r="3">
      <c r="A3" t="inlineStr">
        <is>
          <t>One Year</t>
        </is>
      </c>
      <c r="B3">
        <f>COUNTIF('Cleaned Data'!$I$2:$I$16,A3)</f>
        <v/>
      </c>
      <c r="C3">
        <f>COUNTIFS('Cleaned Data'!$I$2:$I$16,A3,'Cleaned Data'!$L$2:$L$16,"Yes")</f>
        <v/>
      </c>
      <c r="D3">
        <f>IFERROR(C3/B3,0)</f>
        <v/>
      </c>
      <c r="E3">
        <f>SUMIFS('Cleaned Data'!$G$2:$G$16,'Cleaned Data'!$I$2:$I$16,A3,'Cleaned Data'!$L$2:$L$16,"Yes")</f>
        <v/>
      </c>
      <c r="G3" t="inlineStr">
        <is>
          <t>Bank Transfer</t>
        </is>
      </c>
      <c r="H3">
        <f>COUNTIF('Cleaned Data'!$K$2:$K$16,G3)</f>
        <v/>
      </c>
      <c r="I3">
        <f>COUNTIFS('Cleaned Data'!$K$2:$K$16,G3,'Cleaned Data'!$L$2:$L$16,"Yes")</f>
        <v/>
      </c>
      <c r="J3">
        <f>IFERROR(I3/H3,0)</f>
        <v/>
      </c>
      <c r="K3">
        <f>SUMIFS('Cleaned Data'!$G$2:$G$16,'Cleaned Data'!$K$2:$K$16,G3,'Cleaned Data'!$L$2:$L$16,"Yes")</f>
        <v/>
      </c>
    </row>
    <row r="4">
      <c r="A4" t="inlineStr">
        <is>
          <t>Two Year</t>
        </is>
      </c>
      <c r="B4">
        <f>COUNTIF('Cleaned Data'!$I$2:$I$16,A4)</f>
        <v/>
      </c>
      <c r="C4">
        <f>COUNTIFS('Cleaned Data'!$I$2:$I$16,A4,'Cleaned Data'!$L$2:$L$16,"Yes")</f>
        <v/>
      </c>
      <c r="D4">
        <f>IFERROR(C4/B4,0)</f>
        <v/>
      </c>
      <c r="E4">
        <f>SUMIFS('Cleaned Data'!$G$2:$G$16,'Cleaned Data'!$I$2:$I$16,A4,'Cleaned Data'!$L$2:$L$16,"Yes")</f>
        <v/>
      </c>
      <c r="G4" t="inlineStr">
        <is>
          <t>UPI</t>
        </is>
      </c>
      <c r="H4">
        <f>COUNTIF('Cleaned Data'!$K$2:$K$16,G4)</f>
        <v/>
      </c>
      <c r="I4">
        <f>COUNTIFS('Cleaned Data'!$K$2:$K$16,G4,'Cleaned Data'!$L$2:$L$16,"Yes")</f>
        <v/>
      </c>
      <c r="J4">
        <f>IFERROR(I4/H4,0)</f>
        <v/>
      </c>
      <c r="K4">
        <f>SUMIFS('Cleaned Data'!$G$2:$G$16,'Cleaned Data'!$K$2:$K$16,G4,'Cleaned Data'!$L$2:$L$16,"Yes")</f>
        <v/>
      </c>
    </row>
    <row r="5">
      <c r="G5" t="inlineStr">
        <is>
          <t>Debit Card</t>
        </is>
      </c>
      <c r="H5">
        <f>COUNTIF('Cleaned Data'!$K$2:$K$16,G5)</f>
        <v/>
      </c>
      <c r="I5">
        <f>COUNTIFS('Cleaned Data'!$K$2:$K$16,G5,'Cleaned Data'!$L$2:$L$16,"Yes")</f>
        <v/>
      </c>
      <c r="J5">
        <f>IFERROR(I5/H5,0)</f>
        <v/>
      </c>
      <c r="K5">
        <f>SUMIFS('Cleaned Data'!$G$2:$G$16,'Cleaned Data'!$K$2:$K$16,G5,'Cleaned Data'!$L$2:$L$16,"Yes")</f>
        <v/>
      </c>
    </row>
    <row r="7">
      <c r="A7" t="inlineStr">
        <is>
          <t>Tenure Band</t>
        </is>
      </c>
      <c r="B7" t="inlineStr">
        <is>
          <t>Customers</t>
        </is>
      </c>
      <c r="C7" t="inlineStr">
        <is>
          <t>Churned</t>
        </is>
      </c>
      <c r="D7" t="inlineStr">
        <is>
          <t>Churn Rate</t>
        </is>
      </c>
    </row>
    <row r="8">
      <c r="A8" t="inlineStr">
        <is>
          <t>0–12 months</t>
        </is>
      </c>
      <c r="B8">
        <f>COUNTIF('Cleaned Data'!$E$2:$E$16,A8)</f>
        <v/>
      </c>
      <c r="C8">
        <f>COUNTIFS('Cleaned Data'!$E$2:$E$16,A8,'Cleaned Data'!$L$2:$L$16,"Yes")</f>
        <v/>
      </c>
      <c r="D8">
        <f>IFERROR(C8/B8,0)</f>
        <v/>
      </c>
    </row>
    <row r="9">
      <c r="A9" t="inlineStr">
        <is>
          <t>13–24 months</t>
        </is>
      </c>
      <c r="B9">
        <f>COUNTIF('Cleaned Data'!$E$2:$E$16,A9)</f>
        <v/>
      </c>
      <c r="C9">
        <f>COUNTIFS('Cleaned Data'!$E$2:$E$16,A9,'Cleaned Data'!$L$2:$L$16,"Yes")</f>
        <v/>
      </c>
      <c r="D9">
        <f>IFERROR(C9/B9,0)</f>
        <v/>
      </c>
    </row>
    <row r="10">
      <c r="A10" t="inlineStr">
        <is>
          <t>25+ months</t>
        </is>
      </c>
      <c r="B10">
        <f>COUNTIF('Cleaned Data'!$E$2:$E$16,A10)</f>
        <v/>
      </c>
      <c r="C10">
        <f>COUNTIFS('Cleaned Data'!$E$2:$E$16,A10,'Cleaned Data'!$L$2:$L$16,"Yes")</f>
        <v/>
      </c>
      <c r="D10">
        <f>IFERROR(C10/B10,0)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6" t="inlineStr">
        <is>
          <t>Business KPI Dashboard — Customer Churn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Purpose</t>
        </is>
      </c>
      <c r="B3" s="2" t="inlineStr">
        <is>
          <t>Interactive dashboard for churn, retention, revenue risk, and customer segments.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Source</t>
        </is>
      </c>
      <c r="B4" s="2" t="inlineStr">
        <is>
          <t>customer_churn_sample.csv (15 customer records)</t>
        </is>
      </c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KPI definitions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17" t="inlineStr">
        <is>
          <t>Churn Rate</t>
        </is>
      </c>
      <c r="B7" s="2" t="inlineStr">
        <is>
          <t>Churned customers ÷ customers in selected filter context.</t>
        </is>
      </c>
      <c r="C7" s="2" t="n"/>
      <c r="D7" s="2" t="n"/>
      <c r="E7" s="2" t="n"/>
      <c r="F7" s="2" t="n"/>
      <c r="G7" s="2" t="n"/>
      <c r="H7" s="2" t="n"/>
    </row>
    <row r="8">
      <c r="A8" s="17" t="inlineStr">
        <is>
          <t>Retention Rate</t>
        </is>
      </c>
      <c r="B8" s="2" t="inlineStr">
        <is>
          <t>1 − churn rate; customers retained ÷ total customers.</t>
        </is>
      </c>
      <c r="C8" s="2" t="n"/>
      <c r="D8" s="2" t="n"/>
      <c r="E8" s="2" t="n"/>
      <c r="F8" s="2" t="n"/>
      <c r="G8" s="2" t="n"/>
      <c r="H8" s="2" t="n"/>
    </row>
    <row r="9">
      <c r="A9" s="17" t="inlineStr">
        <is>
          <t>Revenue at Risk</t>
        </is>
      </c>
      <c r="B9" s="2" t="inlineStr">
        <is>
          <t>Sum of MonthlyCharges for customers who have Churn = Yes in selected filter context. This represents monthly recurring revenue associated with churned customers.</t>
        </is>
      </c>
      <c r="C9" s="2" t="n"/>
      <c r="D9" s="2" t="n"/>
      <c r="E9" s="2" t="n"/>
      <c r="F9" s="2" t="n"/>
      <c r="G9" s="2" t="n"/>
      <c r="H9" s="2" t="n"/>
    </row>
    <row r="10">
      <c r="A10" s="17" t="inlineStr">
        <is>
          <t>Average Tenure</t>
        </is>
      </c>
      <c r="B10" s="2" t="inlineStr">
        <is>
          <t>Average TenureMonths for customers in selected filter context.</t>
        </is>
      </c>
      <c r="C10" s="2" t="n"/>
      <c r="D10" s="2" t="n"/>
      <c r="E10" s="2" t="n"/>
      <c r="F10" s="2" t="n"/>
      <c r="G10" s="2" t="n"/>
      <c r="H10" s="2" t="n"/>
    </row>
    <row r="11">
      <c r="A11" s="17" t="inlineStr">
        <is>
          <t>Customer Count</t>
        </is>
      </c>
      <c r="B11" s="2" t="inlineStr">
        <is>
          <t>Number of customers in selected filter context.</t>
        </is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Filter design</t>
        </is>
      </c>
      <c r="B14" s="2" t="inlineStr">
        <is>
          <t>Contract: All / Month-to-Month / One Year / Two Year; Tenure: All / 0–12 / 13–24 / 25+ months; Payment: All / Credit Card / Bank Transfer / UPI / Debit Card.</t>
        </is>
      </c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Data quality</t>
        </is>
      </c>
      <c r="B16" s="2" t="inlineStr">
        <is>
          <t>No missing values, duplicate rows, duplicate CustomerIDs, invalid categories, negative numeric values, or TotalCharges calculation mismatches were found in this sample.</t>
        </is>
      </c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Important limitation</t>
        </is>
      </c>
      <c r="B18" s="2" t="inlineStr">
        <is>
          <t>The dataset has only 15 records. Patterns are descriptive for this sample and should not be treated as population-level conclusions.</t>
        </is>
      </c>
      <c r="C18" s="2" t="n"/>
      <c r="D18" s="2" t="n"/>
      <c r="E18" s="2" t="n"/>
      <c r="F18" s="2" t="n"/>
      <c r="G18" s="2" t="n"/>
      <c r="H18" s="2" t="n"/>
    </row>
    <row r="20">
      <c r="A20" t="inlineStr">
        <is>
          <t>How to use</t>
        </is>
      </c>
      <c r="B20" t="inlineStr">
        <is>
          <t>Change the three purple filter cells on the Dashboard. KPI cards update automatically. Charts show segment-level churn patterns for the full sample.</t>
        </is>
      </c>
    </row>
    <row r="22">
      <c r="A22" t="inlineStr">
        <is>
          <t>Submission</t>
        </is>
      </c>
      <c r="B22" t="inlineStr">
        <is>
          <t>Submit the public/view-only link to the repository containing this workbook and supporting files.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2026-09-25T15:26:13Z</dcterms:created>
  <dcterms:modified xmlns:dcterms="http://purl.org/dc/terms/" xmlns:xsi="http://www.w3.org/2001/XMLSchema-instance" xsi:type="dcterms:W3CDTF">2026-09-25T15:26:13Z</dcterms:modified>
</cp:coreProperties>
</file>